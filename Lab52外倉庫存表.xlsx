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庫存總覽" sheetId="1" r:id="rId1"/>
    <sheet name="Move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 rightToLeft="0"/>
  </sheetViews>
  <sheetData>
    <row r="1">
      <c r="A1" t="str">
        <v>產品名稱</v>
      </c>
      <c r="B1" t="str">
        <v>SKU</v>
      </c>
      <c r="C1" t="str">
        <v>EAN</v>
      </c>
      <c r="D1" t="str">
        <v>ASIN</v>
      </c>
      <c r="E1" t="str">
        <v>每箱pcs</v>
      </c>
      <c r="F1" t="str">
        <v>在倉總箱數</v>
      </c>
      <c r="G1" t="str">
        <v>估算總pcs</v>
      </c>
      <c r="H1" t="str">
        <v>最近效期</v>
      </c>
      <c r="I1" t="str">
        <v>最近效期批剩餘</v>
      </c>
      <c r="J1" t="str">
        <v>庫存狀態</v>
      </c>
    </row>
    <row r="2">
      <c r="A2" t="str">
        <v>境外版兒童含鈣健齒噴霧(葡萄口味) 20mL</v>
      </c>
      <c r="B2" t="str">
        <v>Grape_Spray_Kids</v>
      </c>
      <c r="C2">
        <v>4714781022224</v>
      </c>
      <c r="D2" t="str">
        <v>B0B5QZDBNT</v>
      </c>
      <c r="E2">
        <v>144</v>
      </c>
      <c r="F2">
        <f>IFERROR(SUMIF(Movement!C:C,B2,Movement!G:G),0)</f>
        <v>0</v>
      </c>
      <c r="G2">
        <f>IF(F2=0,"",F2*E2)</f>
        <v>0</v>
      </c>
      <c r="H2" t="str">
        <f>IFERROR(TEXT(MINIFS(Movement!F:F,Movement!C:C,B2,Movement!G:G,"&gt;"&amp;0),"yyyy-mm-dd"),"")</f>
        <v/>
      </c>
      <c r="I2">
        <f>IFERROR(SUMIFS(Movement!G:G,Movement!C:C,B2,Movement!F:F,MINIFS(Movement!F:F,Movement!C:C,B2,Movement!G:G,"&gt;"&amp;0)),"")</f>
        <v>0</v>
      </c>
      <c r="J2" t="str">
        <f>IF(F2=0,"",IF(F2&lt;=5,"🔴 庫存偏低",IF(F2&lt;=15,"🟡 注意","✅ 正常")))</f>
        <v/>
      </c>
    </row>
    <row r="3">
      <c r="A3" t="str">
        <v>境外版兒童含鈣健齒噴霧(香草口味) 20mL</v>
      </c>
      <c r="B3" t="str">
        <v>Milk_Kids_Spray</v>
      </c>
      <c r="C3">
        <v>4714781022231</v>
      </c>
      <c r="D3" t="str">
        <v>B0B5QWQ7PP</v>
      </c>
      <c r="E3">
        <v>144</v>
      </c>
      <c r="F3">
        <f>IFERROR(SUMIF(Movement!C:C,B3,Movement!G:G),0)</f>
        <v>0</v>
      </c>
      <c r="G3">
        <f>IF(F3=0,"",F3*E3)</f>
        <v>0</v>
      </c>
      <c r="H3" t="str">
        <f>IFERROR(TEXT(MINIFS(Movement!F:F,Movement!C:C,B3,Movement!G:G,"&gt;"&amp;0),"yyyy-mm-dd"),"")</f>
        <v/>
      </c>
      <c r="I3">
        <f>IFERROR(SUMIFS(Movement!G:G,Movement!C:C,B3,Movement!F:F,MINIFS(Movement!F:F,Movement!C:C,B3,Movement!G:G,"&gt;"&amp;0)),"")</f>
        <v>0</v>
      </c>
      <c r="J3" t="str">
        <f>IF(F3=0,"",IF(F3&lt;=5,"🔴 庫存偏低",IF(F3&lt;=15,"🟡 注意","✅ 正常")))</f>
        <v/>
      </c>
    </row>
    <row r="4">
      <c r="A4" t="str">
        <v>境外版兒童含鈣健齒噴霧(原味口味) 20mL</v>
      </c>
      <c r="B4" t="str">
        <v>FlavorFree_Spray_Kids</v>
      </c>
      <c r="C4">
        <v>4714781022248</v>
      </c>
      <c r="D4" t="str">
        <v>B0F6T1FCZD</v>
      </c>
      <c r="E4">
        <v>144</v>
      </c>
      <c r="F4">
        <f>IFERROR(SUMIF(Movement!C:C,B4,Movement!G:G),0)</f>
        <v>0</v>
      </c>
      <c r="G4">
        <f>IF(F4=0,"",F4*E4)</f>
        <v>0</v>
      </c>
      <c r="H4" t="str">
        <f>IFERROR(TEXT(MINIFS(Movement!F:F,Movement!C:C,B4,Movement!G:G,"&gt;"&amp;0),"yyyy-mm-dd"),"")</f>
        <v/>
      </c>
      <c r="I4">
        <f>IFERROR(SUMIFS(Movement!G:G,Movement!C:C,B4,Movement!F:F,MINIFS(Movement!F:F,Movement!C:C,B4,Movement!G:G,"&gt;"&amp;0)),"")</f>
        <v>0</v>
      </c>
      <c r="J4" t="str">
        <f>IF(F4=0,"",IF(F4&lt;=5,"🔴 庫存偏低",IF(F4&lt;=15,"🟡 注意","✅ 正常")))</f>
        <v/>
      </c>
    </row>
    <row r="5">
      <c r="A5" t="str">
        <v>境外化妝品版兒童含鈣健齒噴霧(草莓口味) 20mL</v>
      </c>
      <c r="B5" t="str">
        <v>XI-MN9Y-L5CY</v>
      </c>
      <c r="C5">
        <v>4714781020015</v>
      </c>
      <c r="D5" t="str">
        <v>B0FLPD32H9</v>
      </c>
      <c r="E5">
        <v>144</v>
      </c>
      <c r="F5">
        <f>IFERROR(SUMIF(Movement!C:C,B5,Movement!G:G),0)</f>
        <v>0</v>
      </c>
      <c r="G5">
        <f>IF(F5=0,"",F5*E5)</f>
        <v>0</v>
      </c>
      <c r="H5" t="str">
        <f>IFERROR(TEXT(MINIFS(Movement!F:F,Movement!C:C,B5,Movement!G:G,"&gt;"&amp;0),"yyyy-mm-dd"),"")</f>
        <v/>
      </c>
      <c r="I5">
        <f>IFERROR(SUMIFS(Movement!G:G,Movement!C:C,B5,Movement!F:F,MINIFS(Movement!F:F,Movement!C:C,B5,Movement!G:G,"&gt;"&amp;0)),"")</f>
        <v>0</v>
      </c>
      <c r="J5" t="str">
        <f>IF(F5=0,"",IF(F5&lt;=5,"🔴 庫存偏低",IF(F5&lt;=15,"🟡 注意","✅ 正常")))</f>
        <v/>
      </c>
    </row>
    <row r="6">
      <c r="A6" t="str">
        <v>境外化妝品版兒童含鈣健齒噴霧(西瓜口味) 20mL</v>
      </c>
      <c r="B6" t="str">
        <v>Watermelon-spray</v>
      </c>
      <c r="C6">
        <v>4714781020022</v>
      </c>
      <c r="D6" t="str">
        <v>B0FMDYP9VG</v>
      </c>
      <c r="E6">
        <v>144</v>
      </c>
      <c r="F6">
        <f>IFERROR(SUMIF(Movement!C:C,B6,Movement!G:G),0)</f>
        <v>0</v>
      </c>
      <c r="G6">
        <f>IF(F6=0,"",F6*E6)</f>
        <v>0</v>
      </c>
      <c r="H6" t="str">
        <f>IFERROR(TEXT(MINIFS(Movement!F:F,Movement!C:C,B6,Movement!G:G,"&gt;"&amp;0),"yyyy-mm-dd"),"")</f>
        <v/>
      </c>
      <c r="I6">
        <f>IFERROR(SUMIFS(Movement!G:G,Movement!C:C,B6,Movement!F:F,MINIFS(Movement!F:F,Movement!C:C,B6,Movement!G:G,"&gt;"&amp;0)),"")</f>
        <v>0</v>
      </c>
      <c r="J6" t="str">
        <f>IF(F6=0,"",IF(F6&lt;=5,"🔴 庫存偏低",IF(F6&lt;=15,"🟡 注意","✅ 正常")))</f>
        <v/>
      </c>
    </row>
    <row r="7">
      <c r="A7" t="str">
        <v>境外化妝品版兒童含鈣健齒噴霧(水蜜桃口味) 20mL</v>
      </c>
      <c r="B7" t="str">
        <v>Peach-spray</v>
      </c>
      <c r="C7">
        <v>4714781020756</v>
      </c>
      <c r="D7" t="str">
        <v>B0FMRSFTLF</v>
      </c>
      <c r="E7">
        <v>144</v>
      </c>
      <c r="F7">
        <f>IFERROR(SUMIF(Movement!C:C,B7,Movement!G:G),0)</f>
        <v>0</v>
      </c>
      <c r="G7">
        <f>IF(F7=0,"",F7*E7)</f>
        <v>0</v>
      </c>
      <c r="H7" t="str">
        <f>IFERROR(TEXT(MINIFS(Movement!F:F,Movement!C:C,B7,Movement!G:G,"&gt;"&amp;0),"yyyy-mm-dd"),"")</f>
        <v/>
      </c>
      <c r="I7">
        <f>IFERROR(SUMIFS(Movement!G:G,Movement!C:C,B7,Movement!F:F,MINIFS(Movement!F:F,Movement!C:C,B7,Movement!G:G,"&gt;"&amp;0)),"")</f>
        <v>0</v>
      </c>
      <c r="J7" t="str">
        <f>IF(F7=0,"",IF(F7&lt;=5,"🔴 庫存偏低",IF(F7&lt;=15,"🟡 注意","✅ 正常")))</f>
        <v/>
      </c>
    </row>
    <row r="8">
      <c r="A8" t="str">
        <v>境外兩入噴噴(草莓+葡萄)</v>
      </c>
      <c r="B8" t="str">
        <v>D6-1MWN-Q0EN</v>
      </c>
      <c r="C8">
        <v>4714781023580</v>
      </c>
      <c r="D8" t="str">
        <v>B0DBTNJW4G</v>
      </c>
      <c r="E8">
        <v>36</v>
      </c>
      <c r="F8">
        <f>IFERROR(SUMIF(Movement!C:C,B8,Movement!G:G),0)</f>
        <v>0</v>
      </c>
      <c r="G8">
        <f>IF(F8=0,"",F8*E8)</f>
        <v>0</v>
      </c>
      <c r="H8" t="str">
        <f>IFERROR(TEXT(MINIFS(Movement!F:F,Movement!C:C,B8,Movement!G:G,"&gt;"&amp;0),"yyyy-mm-dd"),"")</f>
        <v/>
      </c>
      <c r="I8">
        <f>IFERROR(SUMIFS(Movement!G:G,Movement!C:C,B8,Movement!F:F,MINIFS(Movement!F:F,Movement!C:C,B8,Movement!G:G,"&gt;"&amp;0)),"")</f>
        <v>0</v>
      </c>
      <c r="J8" t="str">
        <f>IF(F8=0,"",IF(F8&lt;=5,"🔴 庫存偏低",IF(F8&lt;=15,"🟡 注意","✅ 正常")))</f>
        <v/>
      </c>
    </row>
    <row r="9">
      <c r="A9" t="str">
        <v>境外兩入噴噴(草莓+水蜜桃)</v>
      </c>
      <c r="B9" t="str">
        <v>TU-V4OB-07QB</v>
      </c>
      <c r="C9">
        <v>4714781023597</v>
      </c>
      <c r="D9" t="str">
        <v>B0DBT8RDPJ</v>
      </c>
      <c r="E9">
        <v>36</v>
      </c>
      <c r="F9">
        <f>IFERROR(SUMIF(Movement!C:C,B9,Movement!G:G),0)</f>
        <v>0</v>
      </c>
      <c r="G9">
        <f>IF(F9=0,"",F9*E9)</f>
        <v>0</v>
      </c>
      <c r="H9" t="str">
        <f>IFERROR(TEXT(MINIFS(Movement!F:F,Movement!C:C,B9,Movement!G:G,"&gt;"&amp;0),"yyyy-mm-dd"),"")</f>
        <v/>
      </c>
      <c r="I9">
        <f>IFERROR(SUMIFS(Movement!G:G,Movement!C:C,B9,Movement!F:F,MINIFS(Movement!F:F,Movement!C:C,B9,Movement!G:G,"&gt;"&amp;0)),"")</f>
        <v>0</v>
      </c>
      <c r="J9" t="str">
        <f>IF(F9=0,"",IF(F9&lt;=5,"🔴 庫存偏低",IF(F9&lt;=15,"🟡 注意","✅ 正常")))</f>
        <v/>
      </c>
    </row>
    <row r="10">
      <c r="A10" t="str">
        <v>境外兩入噴噴(草莓+香草)</v>
      </c>
      <c r="B10" t="str">
        <v>M2-6V1S-09J4</v>
      </c>
      <c r="C10">
        <v>4714781023603</v>
      </c>
      <c r="D10" t="str">
        <v>B0DBTTVWB4</v>
      </c>
      <c r="E10">
        <v>36</v>
      </c>
      <c r="F10">
        <f>IFERROR(SUMIF(Movement!C:C,B10,Movement!G:G),0)</f>
        <v>0</v>
      </c>
      <c r="G10">
        <f>IF(F10=0,"",F10*E10)</f>
        <v>0</v>
      </c>
      <c r="H10" t="str">
        <f>IFERROR(TEXT(MINIFS(Movement!F:F,Movement!C:C,B10,Movement!G:G,"&gt;"&amp;0),"yyyy-mm-dd"),"")</f>
        <v/>
      </c>
      <c r="I10">
        <f>IFERROR(SUMIFS(Movement!G:G,Movement!C:C,B10,Movement!F:F,MINIFS(Movement!F:F,Movement!C:C,B10,Movement!G:G,"&gt;"&amp;0)),"")</f>
        <v>0</v>
      </c>
      <c r="J10" t="str">
        <f>IF(F10=0,"",IF(F10&lt;=5,"🔴 庫存偏低",IF(F10&lt;=15,"🟡 注意","✅ 正常")))</f>
        <v/>
      </c>
    </row>
    <row r="11">
      <c r="A11" t="str">
        <v>境外兩入噴噴(草莓+西瓜)</v>
      </c>
      <c r="B11" t="str">
        <v>Strawberry+Watermelon</v>
      </c>
      <c r="C11">
        <v>4714781023610</v>
      </c>
      <c r="D11" t="str">
        <v>B0FMY7W7HZ</v>
      </c>
      <c r="E11">
        <v>36</v>
      </c>
      <c r="F11">
        <f>IFERROR(SUMIF(Movement!C:C,B11,Movement!G:G),0)</f>
        <v>0</v>
      </c>
      <c r="G11">
        <f>IF(F11=0,"",F11*E11)</f>
        <v>0</v>
      </c>
      <c r="H11" t="str">
        <f>IFERROR(TEXT(MINIFS(Movement!F:F,Movement!C:C,B11,Movement!G:G,"&gt;"&amp;0),"yyyy-mm-dd"),"")</f>
        <v/>
      </c>
      <c r="I11">
        <f>IFERROR(SUMIFS(Movement!G:G,Movement!C:C,B11,Movement!F:F,MINIFS(Movement!F:F,Movement!C:C,B11,Movement!G:G,"&gt;"&amp;0)),"")</f>
        <v>0</v>
      </c>
      <c r="J11" t="str">
        <f>IF(F11=0,"",IF(F11&lt;=5,"🔴 庫存偏低",IF(F11&lt;=15,"🟡 注意","✅ 正常")))</f>
        <v/>
      </c>
    </row>
    <row r="12">
      <c r="A12" t="str">
        <v>境外兩入噴噴(西瓜+水蜜桃)</v>
      </c>
      <c r="B12" t="str">
        <v>Watermelon+Peach</v>
      </c>
      <c r="C12">
        <v>4714781023757</v>
      </c>
      <c r="D12" t="str">
        <v>x</v>
      </c>
      <c r="E12">
        <v>36</v>
      </c>
      <c r="F12">
        <f>IFERROR(SUMIF(Movement!C:C,B12,Movement!G:G),0)</f>
        <v>0</v>
      </c>
      <c r="G12">
        <f>IF(F12=0,"",F12*E12)</f>
        <v>0</v>
      </c>
      <c r="H12" t="str">
        <f>IFERROR(TEXT(MINIFS(Movement!F:F,Movement!C:C,B12,Movement!G:G,"&gt;"&amp;0),"yyyy-mm-dd"),"")</f>
        <v/>
      </c>
      <c r="I12">
        <f>IFERROR(SUMIFS(Movement!G:G,Movement!C:C,B12,Movement!F:F,MINIFS(Movement!F:F,Movement!C:C,B12,Movement!G:G,"&gt;"&amp;0)),"")</f>
        <v>0</v>
      </c>
      <c r="J12" t="str">
        <f>IF(F12=0,"",IF(F12&lt;=5,"🔴 庫存偏低",IF(F12&lt;=15,"🟡 注意","✅ 正常")))</f>
        <v/>
      </c>
    </row>
    <row r="13">
      <c r="A13" t="str">
        <v>境外版三入噴噴禮盒(葡萄口味)</v>
      </c>
      <c r="B13" t="str">
        <v>F8-1THT-CLFU</v>
      </c>
      <c r="C13">
        <v>4714781023115</v>
      </c>
      <c r="D13" t="str">
        <v>B0C9T4XCJF</v>
      </c>
      <c r="E13">
        <v>60</v>
      </c>
      <c r="F13">
        <f>IFERROR(SUMIF(Movement!C:C,B13,Movement!G:G),0)</f>
        <v>0</v>
      </c>
      <c r="G13">
        <f>IF(F13=0,"",F13*E13)</f>
        <v>0</v>
      </c>
      <c r="H13" t="str">
        <f>IFERROR(TEXT(MINIFS(Movement!F:F,Movement!C:C,B13,Movement!G:G,"&gt;"&amp;0),"yyyy-mm-dd"),"")</f>
        <v/>
      </c>
      <c r="I13">
        <f>IFERROR(SUMIFS(Movement!G:G,Movement!C:C,B13,Movement!F:F,MINIFS(Movement!F:F,Movement!C:C,B13,Movement!G:G,"&gt;"&amp;0)),"")</f>
        <v>0</v>
      </c>
      <c r="J13" t="str">
        <f>IF(F13=0,"",IF(F13&lt;=5,"🔴 庫存偏低",IF(F13&lt;=15,"🟡 注意","✅ 正常")))</f>
        <v/>
      </c>
    </row>
    <row r="14">
      <c r="A14" t="str">
        <v>境外化妝品三入噴噴禮盒(草莓口味)</v>
      </c>
      <c r="B14" t="str">
        <v>StrawberrySprayBox</v>
      </c>
      <c r="C14">
        <v>4714781020763</v>
      </c>
      <c r="D14" t="str">
        <v>B0FMRSQVY6</v>
      </c>
      <c r="E14">
        <v>60</v>
      </c>
      <c r="F14">
        <f>IFERROR(SUMIF(Movement!C:C,B14,Movement!G:G),0)</f>
        <v>0</v>
      </c>
      <c r="G14">
        <f>IF(F14=0,"",F14*E14)</f>
        <v>0</v>
      </c>
      <c r="H14" t="str">
        <f>IFERROR(TEXT(MINIFS(Movement!F:F,Movement!C:C,B14,Movement!G:G,"&gt;"&amp;0),"yyyy-mm-dd"),"")</f>
        <v/>
      </c>
      <c r="I14">
        <f>IFERROR(SUMIFS(Movement!G:G,Movement!C:C,B14,Movement!F:F,MINIFS(Movement!F:F,Movement!C:C,B14,Movement!G:G,"&gt;"&amp;0)),"")</f>
        <v>0</v>
      </c>
      <c r="J14" t="str">
        <f>IF(F14=0,"",IF(F14&lt;=5,"🔴 庫存偏低",IF(F14&lt;=15,"🟡 注意","✅ 正常")))</f>
        <v/>
      </c>
    </row>
    <row r="15">
      <c r="A15" t="str">
        <v>境外版兒童無氟牙膏(草莓口味) 113g</v>
      </c>
      <c r="B15" t="str">
        <v>StrawberryNHAP</v>
      </c>
      <c r="C15">
        <v>4714781020060</v>
      </c>
      <c r="D15" t="str">
        <v>B0GQ7FHJWD</v>
      </c>
      <c r="E15">
        <v>63</v>
      </c>
      <c r="F15">
        <f>IFERROR(SUMIF(Movement!C:C,B15,Movement!G:G),0)</f>
        <v>0</v>
      </c>
      <c r="G15">
        <f>IF(F15=0,"",F15*E15)</f>
        <v>0</v>
      </c>
      <c r="H15" t="str">
        <f>IFERROR(TEXT(MINIFS(Movement!F:F,Movement!C:C,B15,Movement!G:G,"&gt;"&amp;0),"yyyy-mm-dd"),"")</f>
        <v/>
      </c>
      <c r="I15">
        <f>IFERROR(SUMIFS(Movement!G:G,Movement!C:C,B15,Movement!F:F,MINIFS(Movement!F:F,Movement!C:C,B15,Movement!G:G,"&gt;"&amp;0)),"")</f>
        <v>0</v>
      </c>
      <c r="J15" t="str">
        <f>IF(F15=0,"",IF(F15&lt;=5,"🔴 庫存偏低",IF(F15&lt;=15,"🟡 注意","✅ 正常")))</f>
        <v/>
      </c>
    </row>
    <row r="16">
      <c r="A16" t="str">
        <v>境外版兒童無氟牙膏(西瓜口味) 113g</v>
      </c>
      <c r="B16" t="str">
        <v>WatermelonNHAP</v>
      </c>
      <c r="C16">
        <v>4714781020077</v>
      </c>
      <c r="D16" t="str">
        <v>B0GQ8X3V9Q</v>
      </c>
      <c r="E16">
        <v>63</v>
      </c>
      <c r="F16">
        <f>IFERROR(SUMIF(Movement!C:C,B16,Movement!G:G),0)</f>
        <v>0</v>
      </c>
      <c r="G16">
        <f>IF(F16=0,"",F16*E16)</f>
        <v>0</v>
      </c>
      <c r="H16" t="str">
        <f>IFERROR(TEXT(MINIFS(Movement!F:F,Movement!C:C,B16,Movement!G:G,"&gt;"&amp;0),"yyyy-mm-dd"),"")</f>
        <v/>
      </c>
      <c r="I16">
        <f>IFERROR(SUMIFS(Movement!G:G,Movement!C:C,B16,Movement!F:F,MINIFS(Movement!F:F,Movement!C:C,B16,Movement!G:G,"&gt;"&amp;0)),"")</f>
        <v>0</v>
      </c>
      <c r="J16" t="str">
        <f>IF(F16=0,"",IF(F16&lt;=5,"🔴 庫存偏低",IF(F16&lt;=15,"🟡 注意","✅ 正常")))</f>
        <v/>
      </c>
    </row>
    <row r="17">
      <c r="A17" t="str">
        <v>境外版成人L8020噴霧(蘋果烏龍口味) 20mL</v>
      </c>
      <c r="B17" t="str">
        <v>AD-0001</v>
      </c>
      <c r="C17">
        <v>4714781020084</v>
      </c>
      <c r="D17" t="str">
        <v>B0GK66X2RN</v>
      </c>
      <c r="E17">
        <v>144</v>
      </c>
      <c r="F17">
        <f>IFERROR(SUMIF(Movement!C:C,B17,Movement!G:G),0)</f>
        <v>0</v>
      </c>
      <c r="G17">
        <f>IF(F17=0,"",F17*E17)</f>
        <v>0</v>
      </c>
      <c r="H17" t="str">
        <f>IFERROR(TEXT(MINIFS(Movement!F:F,Movement!C:C,B17,Movement!G:G,"&gt;"&amp;0),"yyyy-mm-dd"),"")</f>
        <v/>
      </c>
      <c r="I17">
        <f>IFERROR(SUMIFS(Movement!G:G,Movement!C:C,B17,Movement!F:F,MINIFS(Movement!F:F,Movement!C:C,B17,Movement!G:G,"&gt;"&amp;0)),"")</f>
        <v>0</v>
      </c>
      <c r="J17" t="str">
        <f>IF(F17=0,"",IF(F17&lt;=5,"🔴 庫存偏低",IF(F17&lt;=15,"🟡 注意","✅ 正常")))</f>
        <v/>
      </c>
    </row>
  </sheetData>
  <pageMargins left="0.7" right="0.7" top="0.75" bottom="0.75" header="0.3" footer="0.3"/>
  <ignoredErrors>
    <ignoredError numberStoredAsText="1" sqref="A1:J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27"/>
  <sheetViews>
    <sheetView workbookViewId="0" rightToLeft="0"/>
  </sheetViews>
  <sheetData>
    <row r="1">
      <c r="A1" t="str">
        <v>Date</v>
      </c>
      <c r="B1" t="str">
        <v>Name</v>
      </c>
      <c r="C1" t="str">
        <v>SKU</v>
      </c>
      <c r="D1" t="str">
        <v>EAN</v>
      </c>
      <c r="E1" t="str">
        <v>ASIN</v>
      </c>
      <c r="F1" t="str">
        <v>exp_date</v>
      </c>
      <c r="G1" t="str">
        <v>Boxes</v>
      </c>
      <c r="H1" t="str">
        <v>note</v>
      </c>
    </row>
    <row r="2">
      <c r="A2">
        <v>46171</v>
      </c>
      <c r="B2" t="str">
        <v>境外版兒童含鈣健齒噴霧(葡萄口味) 20mL</v>
      </c>
      <c r="C2" t="str">
        <v>Grape_Spray_Kids</v>
      </c>
      <c r="D2">
        <v>4714781022224</v>
      </c>
      <c r="E2" t="str">
        <v>B0B5QZDBNT</v>
      </c>
      <c r="F2">
        <v>47015</v>
      </c>
      <c r="G2">
        <v>-20</v>
      </c>
    </row>
    <row r="3">
      <c r="A3">
        <v>46171</v>
      </c>
      <c r="B3" t="str">
        <v>境外化妝品版兒童含鈣健齒噴霧(草莓口味) 20mL</v>
      </c>
      <c r="C3" t="str">
        <v>XI-MN9Y-L5CY</v>
      </c>
      <c r="D3">
        <v>4714781020015</v>
      </c>
      <c r="E3" t="str">
        <v>B0FLPD32H9</v>
      </c>
      <c r="F3">
        <v>46951</v>
      </c>
      <c r="G3">
        <v>-40</v>
      </c>
    </row>
    <row r="4">
      <c r="A4">
        <v>46171</v>
      </c>
      <c r="B4" t="str">
        <v>境外化妝品版兒童含鈣健齒噴霧(西瓜口味) 20mL</v>
      </c>
      <c r="C4" t="str">
        <v>Watermelon-spray</v>
      </c>
      <c r="D4">
        <v>4714781020022</v>
      </c>
      <c r="E4" t="str">
        <v>B0FMDYP9VG</v>
      </c>
      <c r="F4">
        <v>46950</v>
      </c>
      <c r="G4">
        <v>-15</v>
      </c>
    </row>
    <row r="5">
      <c r="A5">
        <v>46171</v>
      </c>
      <c r="B5" t="str">
        <v>境外版兒童含鈣健齒噴霧(原味口味) 20mL</v>
      </c>
      <c r="C5" t="str">
        <v>FlavorFree_Spray_Kids</v>
      </c>
      <c r="D5">
        <v>4714781022248</v>
      </c>
      <c r="E5" t="str">
        <v>B0F6T1FCZD</v>
      </c>
      <c r="F5">
        <v>46957</v>
      </c>
      <c r="G5">
        <v>-10</v>
      </c>
    </row>
    <row r="6">
      <c r="A6">
        <v>46171</v>
      </c>
      <c r="B6" t="str">
        <v>境外兩入噴噴(草莓+葡萄)</v>
      </c>
      <c r="C6" t="str">
        <v>D6-1MWN-Q0EN</v>
      </c>
      <c r="D6">
        <v>4714781023580</v>
      </c>
      <c r="E6" t="str">
        <v>B0DBTNJW4G</v>
      </c>
      <c r="F6">
        <v>46908</v>
      </c>
      <c r="G6">
        <v>-15</v>
      </c>
    </row>
    <row r="7">
      <c r="A7">
        <v>46171</v>
      </c>
      <c r="B7" t="str">
        <v>境外兩入噴噴(草莓+香草)</v>
      </c>
      <c r="C7" t="str">
        <v>M2-6V1S-09J4</v>
      </c>
      <c r="D7">
        <v>4714781023603</v>
      </c>
      <c r="E7" t="str">
        <v>B0DBTTVWB4</v>
      </c>
      <c r="F7">
        <v>46508</v>
      </c>
      <c r="G7">
        <v>-10</v>
      </c>
    </row>
    <row r="8">
      <c r="A8">
        <v>46171</v>
      </c>
      <c r="B8" t="str">
        <v>境外版兒童無氟牙膏(草莓口味) 113g</v>
      </c>
      <c r="C8" t="str">
        <v>StrawberryNHAP</v>
      </c>
      <c r="D8">
        <v>4714781020060</v>
      </c>
      <c r="E8" t="str">
        <v>B0GQ7FHJWD</v>
      </c>
      <c r="F8">
        <v>47126</v>
      </c>
      <c r="G8">
        <v>-15</v>
      </c>
    </row>
    <row r="9">
      <c r="A9">
        <v>46171</v>
      </c>
      <c r="B9" t="str">
        <v>境外版兒童無氟牙膏(西瓜口味) 113g</v>
      </c>
      <c r="C9" t="str">
        <v>WatermelonNHAP</v>
      </c>
      <c r="D9">
        <v>4714781020077</v>
      </c>
      <c r="E9" t="str">
        <v>B0GQ8X3V9Q</v>
      </c>
      <c r="F9">
        <v>47125</v>
      </c>
      <c r="G9">
        <v>-20</v>
      </c>
    </row>
    <row r="10">
      <c r="A10">
        <v>46156</v>
      </c>
      <c r="B10" t="str">
        <v>境外版成人L8020噴霧(蘋果烏龍口味) 20mL</v>
      </c>
      <c r="C10" t="str">
        <v>AD-0001</v>
      </c>
      <c r="D10">
        <v>4714781020084</v>
      </c>
      <c r="E10" t="str">
        <v>B0GK66X2RN</v>
      </c>
      <c r="F10">
        <v>46935</v>
      </c>
      <c r="G10">
        <v>-10</v>
      </c>
    </row>
    <row r="11">
      <c r="A11">
        <v>46150</v>
      </c>
      <c r="B11" t="str">
        <v>境外版兒童含鈣健齒噴霧(香草口味) 20mL</v>
      </c>
      <c r="C11" t="str">
        <v>Milk_Kids_Spray</v>
      </c>
      <c r="D11">
        <v>4714781022231</v>
      </c>
      <c r="E11" t="str">
        <v>B0B5QWQ7PP</v>
      </c>
      <c r="F11">
        <v>46971</v>
      </c>
      <c r="G11">
        <v>-15</v>
      </c>
    </row>
    <row r="12">
      <c r="A12">
        <v>46150</v>
      </c>
      <c r="B12" t="str">
        <v>境外版兒童含鈣健齒噴霧(葡萄口味) 20mL</v>
      </c>
      <c r="C12" t="str">
        <v>Grape_Spray_Kids</v>
      </c>
      <c r="D12">
        <v>4714781022224</v>
      </c>
      <c r="E12" t="str">
        <v>B0B5QZDBNT</v>
      </c>
      <c r="F12">
        <v>47015</v>
      </c>
      <c r="G12">
        <v>-5</v>
      </c>
    </row>
    <row r="13">
      <c r="A13">
        <v>46150</v>
      </c>
      <c r="B13" t="str">
        <v>境外版兒童含鈣健齒噴霧(原味口味) 20mL</v>
      </c>
      <c r="C13" t="str">
        <v>FlavorFree_Spray_Kids</v>
      </c>
      <c r="D13">
        <v>4714781022248</v>
      </c>
      <c r="E13" t="str">
        <v>B0F6T1FCZD</v>
      </c>
      <c r="F13">
        <v>46957</v>
      </c>
      <c r="G13">
        <v>-5</v>
      </c>
    </row>
    <row r="14">
      <c r="A14">
        <v>46150</v>
      </c>
      <c r="B14" t="str">
        <v>境外兩入噴噴(草莓+香草)</v>
      </c>
      <c r="C14" t="str">
        <v>M2-6V1S-09J4</v>
      </c>
      <c r="D14">
        <v>4714781023603</v>
      </c>
      <c r="E14" t="str">
        <v>B0DBTTVWB4</v>
      </c>
      <c r="F14">
        <v>46508</v>
      </c>
      <c r="G14">
        <v>-10</v>
      </c>
    </row>
    <row r="15">
      <c r="A15">
        <v>46150</v>
      </c>
      <c r="B15" t="str">
        <v>境外兩入噴噴(草莓+水蜜桃)</v>
      </c>
      <c r="C15" t="str">
        <v>TU-V4OB-07QB</v>
      </c>
      <c r="D15">
        <v>4714781023597</v>
      </c>
      <c r="E15" t="str">
        <v>B0DBT8RDPJ</v>
      </c>
      <c r="F15">
        <v>47000</v>
      </c>
      <c r="G15">
        <v>-10</v>
      </c>
    </row>
    <row r="16">
      <c r="A16">
        <v>46148</v>
      </c>
      <c r="B16" t="str">
        <v>境外版兒童含鈣健齒噴霧(葡萄口味) 20mL</v>
      </c>
      <c r="C16" t="str">
        <v>Grape_Spray_Kids</v>
      </c>
      <c r="D16">
        <v>4714781022224</v>
      </c>
      <c r="E16" t="str">
        <v>B0B5QZDBNT</v>
      </c>
      <c r="F16">
        <v>47015</v>
      </c>
      <c r="G16">
        <v>1</v>
      </c>
    </row>
    <row r="17">
      <c r="A17">
        <v>46148</v>
      </c>
      <c r="B17" t="str">
        <v>境外化妝品版兒童含鈣健齒噴霧(水蜜桃口味) 20mL</v>
      </c>
      <c r="C17" t="str">
        <v>Peach-spray</v>
      </c>
      <c r="D17">
        <v>4714781020756</v>
      </c>
      <c r="E17" t="str">
        <v>B0FMRSFTLF</v>
      </c>
      <c r="F17">
        <v>47000</v>
      </c>
      <c r="G17">
        <v>20</v>
      </c>
    </row>
    <row r="18">
      <c r="A18">
        <v>46148</v>
      </c>
      <c r="B18" t="str">
        <v>境外版兒童含鈣健齒噴霧(原味口味) 20mL</v>
      </c>
      <c r="C18" t="str">
        <v>FlavorFree_Spray_Kids</v>
      </c>
      <c r="D18">
        <v>4714781022248</v>
      </c>
      <c r="E18" t="str">
        <v>B0F6T1FCZD</v>
      </c>
      <c r="F18">
        <v>46957</v>
      </c>
      <c r="G18">
        <v>10</v>
      </c>
    </row>
    <row r="19">
      <c r="A19">
        <v>46148</v>
      </c>
      <c r="B19" t="str">
        <v>境外版成人L8020噴霧(蘋果烏龍口味) 20mL</v>
      </c>
      <c r="C19" t="str">
        <v>AD-0001</v>
      </c>
      <c r="D19">
        <v>4714781020084</v>
      </c>
      <c r="E19" t="str">
        <v>B0GK66X2RN</v>
      </c>
      <c r="F19">
        <v>46935</v>
      </c>
      <c r="G19">
        <v>10</v>
      </c>
    </row>
    <row r="20">
      <c r="A20">
        <v>46141</v>
      </c>
      <c r="B20" t="str">
        <v>境外版兒童含鈣健齒噴霧(葡萄口味) 20mL</v>
      </c>
      <c r="C20" t="str">
        <v>Grape_Spray_Kids</v>
      </c>
      <c r="D20">
        <v>4714781022224</v>
      </c>
      <c r="E20" t="str">
        <v>B0B5QZDBNT</v>
      </c>
      <c r="F20">
        <v>47015</v>
      </c>
      <c r="G20">
        <v>34</v>
      </c>
    </row>
    <row r="21">
      <c r="A21">
        <v>46141</v>
      </c>
      <c r="B21" t="str">
        <v>境外化妝品版兒童含鈣健齒噴霧(草莓口味) 20mL</v>
      </c>
      <c r="C21" t="str">
        <v>XI-MN9Y-L5CY</v>
      </c>
      <c r="D21">
        <v>4714781020015</v>
      </c>
      <c r="E21" t="str">
        <v>B0FLPD32H9</v>
      </c>
      <c r="F21">
        <v>46951</v>
      </c>
      <c r="G21">
        <v>82</v>
      </c>
    </row>
    <row r="22">
      <c r="A22">
        <v>46141</v>
      </c>
      <c r="B22" t="str">
        <v>境外兩入噴噴(草莓+水蜜桃)</v>
      </c>
      <c r="C22" t="str">
        <v>TU-V4OB-07QB</v>
      </c>
      <c r="D22">
        <v>4714781023597</v>
      </c>
      <c r="E22" t="str">
        <v>B0DBT8RDPJ</v>
      </c>
      <c r="F22">
        <v>47000</v>
      </c>
      <c r="G22">
        <v>10</v>
      </c>
    </row>
    <row r="23">
      <c r="A23">
        <v>46141</v>
      </c>
      <c r="B23" t="str">
        <v>境外版兒童無氟牙膏(草莓口味) 113g</v>
      </c>
      <c r="C23" t="str">
        <v>StrawberryNHAP</v>
      </c>
      <c r="D23">
        <v>4714781020060</v>
      </c>
      <c r="E23" t="str">
        <v>B0GQ7FHJWD</v>
      </c>
      <c r="F23">
        <v>47126</v>
      </c>
      <c r="G23">
        <v>42</v>
      </c>
    </row>
    <row r="24">
      <c r="A24">
        <v>46141</v>
      </c>
      <c r="B24" t="str">
        <v>境外版兒童無氟牙膏(西瓜口味) 113g</v>
      </c>
      <c r="C24" t="str">
        <v>WatermelonNHAP</v>
      </c>
      <c r="D24">
        <v>4714781020077</v>
      </c>
      <c r="E24" t="str">
        <v>B0GQ8X3V9Q</v>
      </c>
      <c r="F24">
        <v>47125</v>
      </c>
      <c r="G24">
        <v>42</v>
      </c>
    </row>
    <row r="25">
      <c r="A25">
        <v>46133</v>
      </c>
      <c r="B25" t="str">
        <v>境外版兒童含鈣健齒噴霧(葡萄口味) 20mL</v>
      </c>
      <c r="C25" t="str">
        <v>Grape_Spray_Kids</v>
      </c>
      <c r="D25">
        <v>4714781022224</v>
      </c>
      <c r="E25" t="str">
        <v>B0B5QZDBNT</v>
      </c>
      <c r="F25">
        <v>47015</v>
      </c>
      <c r="G25">
        <v>-5</v>
      </c>
    </row>
    <row r="26">
      <c r="A26">
        <v>46133</v>
      </c>
      <c r="B26" t="str">
        <v>境外化妝品版兒童含鈣健齒噴霧(西瓜口味) 20mL</v>
      </c>
      <c r="C26" t="str">
        <v>Watermelon-spray</v>
      </c>
      <c r="D26">
        <v>4714781020022</v>
      </c>
      <c r="E26" t="str">
        <v>B0FMDYP9VG</v>
      </c>
      <c r="F26">
        <v>46950</v>
      </c>
      <c r="G26">
        <v>-10</v>
      </c>
    </row>
    <row r="27">
      <c r="A27">
        <v>46133</v>
      </c>
      <c r="B27" t="str">
        <v>境外兩入噴噴(草莓+葡萄)</v>
      </c>
      <c r="C27" t="str">
        <v>D6-1MWN-Q0EN</v>
      </c>
      <c r="D27">
        <v>4714781023580</v>
      </c>
      <c r="E27" t="str">
        <v>B0DBTNJW4G</v>
      </c>
      <c r="F27">
        <v>46908</v>
      </c>
      <c r="G27">
        <v>-10</v>
      </c>
    </row>
    <row r="28">
      <c r="A28">
        <v>46099</v>
      </c>
      <c r="B28" t="str">
        <v>境外化妝品版兒童含鈣健齒噴霧(草莓口味) 20mL</v>
      </c>
      <c r="C28" t="str">
        <v>XI-MN9Y-L5CY</v>
      </c>
      <c r="D28">
        <v>4714781020015</v>
      </c>
      <c r="E28" t="str">
        <v>B0FLPD32H9</v>
      </c>
      <c r="F28">
        <v>46951</v>
      </c>
      <c r="G28">
        <v>-10</v>
      </c>
    </row>
    <row r="29">
      <c r="A29">
        <v>46099</v>
      </c>
      <c r="B29" t="str">
        <v>境外化妝品版兒童含鈣健齒噴霧(水蜜桃口味) 20mL</v>
      </c>
      <c r="C29" t="str">
        <v>Peach-spray</v>
      </c>
      <c r="D29">
        <v>4714781020756</v>
      </c>
      <c r="E29" t="str">
        <v>B0FMRSFTLF</v>
      </c>
      <c r="F29">
        <v>47000</v>
      </c>
      <c r="G29">
        <v>-10</v>
      </c>
    </row>
    <row r="30">
      <c r="A30">
        <v>46099</v>
      </c>
      <c r="B30" t="str">
        <v>境外版兒童含鈣健齒噴霧(原味口味) 20mL</v>
      </c>
      <c r="C30" t="str">
        <v>FlavorFree_Spray_Kids</v>
      </c>
      <c r="D30">
        <v>4714781022248</v>
      </c>
      <c r="E30" t="str">
        <v>B0F6T1FCZD</v>
      </c>
      <c r="F30">
        <v>46957</v>
      </c>
      <c r="G30">
        <v>-5</v>
      </c>
    </row>
    <row r="31">
      <c r="A31">
        <v>46099</v>
      </c>
      <c r="B31" t="str">
        <v>境外版三入噴噴禮盒(葡萄口味)</v>
      </c>
      <c r="C31" t="str">
        <v>F8-1THT-CLFU</v>
      </c>
      <c r="D31">
        <v>4714781023115</v>
      </c>
      <c r="E31" t="str">
        <v>B0C9T4XCJF</v>
      </c>
      <c r="F31">
        <v>47015</v>
      </c>
      <c r="G31">
        <v>-5</v>
      </c>
    </row>
    <row r="32">
      <c r="A32">
        <v>46099</v>
      </c>
      <c r="B32" t="str">
        <v>境外版兒童無氟牙膏(草莓口味) 113g</v>
      </c>
      <c r="C32" t="str">
        <v>StrawberryNHAP</v>
      </c>
      <c r="D32">
        <v>4714781020060</v>
      </c>
      <c r="E32" t="str">
        <v>B0GQ7FHJWD</v>
      </c>
      <c r="F32">
        <v>47126</v>
      </c>
      <c r="G32">
        <v>-15</v>
      </c>
    </row>
    <row r="33">
      <c r="A33">
        <v>46099</v>
      </c>
      <c r="B33" t="str">
        <v>境外版兒童無氟牙膏(西瓜口味) 113g</v>
      </c>
      <c r="C33" t="str">
        <v>WatermelonNHAP</v>
      </c>
      <c r="D33">
        <v>4714781020077</v>
      </c>
      <c r="E33" t="str">
        <v>B0GQ8X3V9Q</v>
      </c>
      <c r="F33">
        <v>47125</v>
      </c>
      <c r="G33">
        <v>-15</v>
      </c>
    </row>
    <row r="34">
      <c r="A34">
        <v>46090</v>
      </c>
      <c r="B34" t="str">
        <v>境外版兒童含鈣健齒噴霧(香草口味) 20mL</v>
      </c>
      <c r="C34" t="str">
        <v>Milk_Kids_Spray</v>
      </c>
      <c r="D34">
        <v>4714781022231</v>
      </c>
      <c r="E34" t="str">
        <v>B0B5QWQ7PP</v>
      </c>
      <c r="F34">
        <v>46971</v>
      </c>
      <c r="G34">
        <v>2</v>
      </c>
    </row>
    <row r="35">
      <c r="A35">
        <v>46090</v>
      </c>
      <c r="B35" t="str">
        <v>境外版兒童含鈣健齒噴霧(葡萄口味) 20mL</v>
      </c>
      <c r="C35" t="str">
        <v>Grape_Spray_Kids</v>
      </c>
      <c r="D35">
        <v>4714781022224</v>
      </c>
      <c r="E35" t="str">
        <v>B0B5QZDBNT</v>
      </c>
      <c r="F35">
        <v>47015</v>
      </c>
      <c r="G35">
        <v>2</v>
      </c>
    </row>
    <row r="36">
      <c r="A36">
        <v>46090</v>
      </c>
      <c r="B36" t="str">
        <v>境外化妝品版兒童含鈣健齒噴霧(西瓜口味) 20mL</v>
      </c>
      <c r="C36" t="str">
        <v>Watermelon-spray</v>
      </c>
      <c r="D36">
        <v>4714781020022</v>
      </c>
      <c r="E36" t="str">
        <v>B0FMDYP9VG</v>
      </c>
      <c r="F36">
        <v>46950</v>
      </c>
      <c r="G36">
        <v>4</v>
      </c>
    </row>
    <row r="37">
      <c r="A37">
        <v>46090</v>
      </c>
      <c r="B37" t="str">
        <v>境外化妝品版兒童含鈣健齒噴霧(水蜜桃口味) 20mL</v>
      </c>
      <c r="C37" t="str">
        <v>Peach-spray</v>
      </c>
      <c r="D37">
        <v>4714781020756</v>
      </c>
      <c r="E37" t="str">
        <v>B0FMRSFTLF</v>
      </c>
      <c r="F37">
        <v>47000</v>
      </c>
      <c r="G37">
        <v>1</v>
      </c>
    </row>
    <row r="38">
      <c r="A38">
        <v>46090</v>
      </c>
      <c r="B38" t="str">
        <v>境外版兒童無氟牙膏(草莓口味) 113g</v>
      </c>
      <c r="C38" t="str">
        <v>StrawberryNHAP</v>
      </c>
      <c r="D38">
        <v>4714781020060</v>
      </c>
      <c r="E38" t="str">
        <v>B0GQ7FHJWD</v>
      </c>
      <c r="F38">
        <v>47126</v>
      </c>
      <c r="G38">
        <v>21</v>
      </c>
    </row>
    <row r="39">
      <c r="A39">
        <v>46090</v>
      </c>
      <c r="B39" t="str">
        <v>境外版兒童無氟牙膏(西瓜口味) 113g</v>
      </c>
      <c r="C39" t="str">
        <v>WatermelonNHAP</v>
      </c>
      <c r="D39">
        <v>4714781020077</v>
      </c>
      <c r="E39" t="str">
        <v>B0GQ8X3V9Q</v>
      </c>
      <c r="F39">
        <v>47125</v>
      </c>
      <c r="G39">
        <v>20</v>
      </c>
    </row>
    <row r="40">
      <c r="A40">
        <v>46058</v>
      </c>
      <c r="B40" t="str">
        <v>境外版兒童含鈣健齒噴霧(香草口味) 20mL</v>
      </c>
      <c r="C40" t="str">
        <v>Milk_Kids_Spray</v>
      </c>
      <c r="D40">
        <v>4714781022231</v>
      </c>
      <c r="E40" t="str">
        <v>B0B5QWQ7PP</v>
      </c>
      <c r="F40">
        <v>46971</v>
      </c>
      <c r="G40">
        <v>-20</v>
      </c>
    </row>
    <row r="41">
      <c r="A41">
        <v>46058</v>
      </c>
      <c r="B41" t="str">
        <v>境外版兒童含鈣健齒噴霧(葡萄口味) 20mL</v>
      </c>
      <c r="C41" t="str">
        <v>Grape_Spray_Kids</v>
      </c>
      <c r="D41">
        <v>4714781022224</v>
      </c>
      <c r="E41" t="str">
        <v>B0B5QZDBNT</v>
      </c>
      <c r="F41">
        <v>47015</v>
      </c>
      <c r="G41">
        <v>-20</v>
      </c>
    </row>
    <row r="42">
      <c r="A42">
        <v>46058</v>
      </c>
      <c r="B42" t="str">
        <v>境外版兒童含鈣健齒噴霧(原味口味) 20mL</v>
      </c>
      <c r="C42" t="str">
        <v>FlavorFree_Spray_Kids</v>
      </c>
      <c r="D42">
        <v>4714781022248</v>
      </c>
      <c r="E42" t="str">
        <v>B0F6T1FCZD</v>
      </c>
      <c r="F42">
        <v>46957</v>
      </c>
      <c r="G42">
        <v>-10</v>
      </c>
    </row>
    <row r="43">
      <c r="A43">
        <v>46058</v>
      </c>
      <c r="B43" t="str">
        <v>境外兩入噴噴(草莓+葡萄)</v>
      </c>
      <c r="C43" t="str">
        <v>D6-1MWN-Q0EN</v>
      </c>
      <c r="D43">
        <v>4714781023580</v>
      </c>
      <c r="E43" t="str">
        <v>B0DBTNJW4G</v>
      </c>
      <c r="F43">
        <v>46908</v>
      </c>
      <c r="G43">
        <v>-45</v>
      </c>
    </row>
    <row r="44">
      <c r="A44">
        <v>46058</v>
      </c>
      <c r="B44" t="str">
        <v>境外兩入噴噴(草莓+香草)</v>
      </c>
      <c r="C44" t="str">
        <v>M2-6V1S-09J4</v>
      </c>
      <c r="D44">
        <v>4714781023603</v>
      </c>
      <c r="E44" t="str">
        <v>B0DBTTVWB4</v>
      </c>
      <c r="F44">
        <v>46508</v>
      </c>
      <c r="G44">
        <v>-30</v>
      </c>
    </row>
    <row r="45">
      <c r="A45">
        <v>46058</v>
      </c>
      <c r="B45" t="str">
        <v>境外版成人L8020噴霧(蘋果烏龍口味) 20mL</v>
      </c>
      <c r="C45" t="str">
        <v>AD-0001</v>
      </c>
      <c r="D45">
        <v>4714781020084</v>
      </c>
      <c r="E45" t="str">
        <v>B0GK66X2RN</v>
      </c>
      <c r="F45">
        <v>46935</v>
      </c>
      <c r="G45">
        <v>-10</v>
      </c>
    </row>
    <row r="46">
      <c r="A46">
        <v>46050</v>
      </c>
      <c r="B46" t="str">
        <v>境外版兒童含鈣健齒噴霧(香草口味) 20mL</v>
      </c>
      <c r="C46" t="str">
        <v>Milk_Kids_Spray</v>
      </c>
      <c r="D46">
        <v>4714781022231</v>
      </c>
      <c r="E46" t="str">
        <v>B0B5QWQ7PP</v>
      </c>
      <c r="F46">
        <v>46971</v>
      </c>
      <c r="G46">
        <v>40</v>
      </c>
    </row>
    <row r="47">
      <c r="A47">
        <v>46050</v>
      </c>
      <c r="B47" t="str">
        <v>境外版兒童含鈣健齒噴霧(葡萄口味) 20mL</v>
      </c>
      <c r="C47" t="str">
        <v>Grape_Spray_Kids</v>
      </c>
      <c r="D47">
        <v>4714781022224</v>
      </c>
      <c r="E47" t="str">
        <v>B0B5QZDBNT</v>
      </c>
      <c r="F47">
        <v>47015</v>
      </c>
      <c r="G47">
        <v>35</v>
      </c>
    </row>
    <row r="48">
      <c r="A48">
        <v>46050</v>
      </c>
      <c r="B48" t="str">
        <v>境外化妝品版兒童含鈣健齒噴霧(西瓜口味) 20mL</v>
      </c>
      <c r="C48" t="str">
        <v>Watermelon-spray</v>
      </c>
      <c r="D48">
        <v>4714781020022</v>
      </c>
      <c r="E48" t="str">
        <v>B0FMDYP9VG</v>
      </c>
      <c r="F48">
        <v>46950</v>
      </c>
      <c r="G48">
        <v>50</v>
      </c>
    </row>
    <row r="49">
      <c r="A49">
        <v>46050</v>
      </c>
      <c r="B49" t="str">
        <v>境外化妝品版兒童含鈣健齒噴霧(水蜜桃口味) 20mL</v>
      </c>
      <c r="C49" t="str">
        <v>Peach-spray</v>
      </c>
      <c r="D49">
        <v>4714781020756</v>
      </c>
      <c r="E49" t="str">
        <v>B0FMRSFTLF</v>
      </c>
      <c r="F49">
        <v>47000</v>
      </c>
      <c r="G49">
        <v>35</v>
      </c>
    </row>
    <row r="50">
      <c r="A50">
        <v>46050</v>
      </c>
      <c r="B50" t="str">
        <v>境外版兒童含鈣健齒噴霧(原味口味) 20mL</v>
      </c>
      <c r="C50" t="str">
        <v>FlavorFree_Spray_Kids</v>
      </c>
      <c r="D50">
        <v>4714781022248</v>
      </c>
      <c r="E50" t="str">
        <v>B0F6T1FCZD</v>
      </c>
      <c r="F50">
        <v>46957</v>
      </c>
      <c r="G50">
        <v>17</v>
      </c>
    </row>
    <row r="51">
      <c r="A51">
        <v>46050</v>
      </c>
      <c r="B51" t="str">
        <v>境外兩入噴噴(草莓+葡萄)</v>
      </c>
      <c r="C51" t="str">
        <v>D6-1MWN-Q0EN</v>
      </c>
      <c r="D51">
        <v>4714781023580</v>
      </c>
      <c r="E51" t="str">
        <v>B0DBTNJW4G</v>
      </c>
      <c r="F51">
        <v>46908</v>
      </c>
      <c r="G51">
        <v>95</v>
      </c>
    </row>
    <row r="52">
      <c r="A52">
        <v>46050</v>
      </c>
      <c r="B52" t="str">
        <v>境外兩入噴噴(草莓+香草)</v>
      </c>
      <c r="C52" t="str">
        <v>M2-6V1S-09J4</v>
      </c>
      <c r="D52">
        <v>4714781023603</v>
      </c>
      <c r="E52" t="str">
        <v>B0DBTTVWB4</v>
      </c>
      <c r="F52">
        <v>46508</v>
      </c>
      <c r="G52">
        <v>55</v>
      </c>
    </row>
    <row r="53">
      <c r="A53">
        <v>46050</v>
      </c>
      <c r="B53" t="str">
        <v>境外版三入噴噴禮盒(葡萄口味)</v>
      </c>
      <c r="C53" t="str">
        <v>F8-1THT-CLFU</v>
      </c>
      <c r="D53">
        <v>4714781023115</v>
      </c>
      <c r="E53" t="str">
        <v>B0C9T4XCJF</v>
      </c>
      <c r="F53">
        <v>47015</v>
      </c>
      <c r="G53">
        <v>5</v>
      </c>
    </row>
    <row r="54">
      <c r="A54">
        <v>46050</v>
      </c>
      <c r="B54" t="str">
        <v>境外版成人L8020噴霧(蘋果烏龍口味) 20mL</v>
      </c>
      <c r="C54" t="str">
        <v>AD-0001</v>
      </c>
      <c r="D54">
        <v>4714781020084</v>
      </c>
      <c r="E54" t="str">
        <v>B0GK66X2RN</v>
      </c>
      <c r="F54">
        <v>46935</v>
      </c>
      <c r="G54">
        <v>10</v>
      </c>
    </row>
    <row r="55">
      <c r="A55">
        <v>46037</v>
      </c>
      <c r="B55" t="str">
        <v>境外化妝品版兒童含鈣健齒噴霧(西瓜口味) 20mL</v>
      </c>
      <c r="C55" t="str">
        <v>Watermelon-spray</v>
      </c>
      <c r="D55">
        <v>4714781020022</v>
      </c>
      <c r="E55" t="str">
        <v>B0FMDYP9VG</v>
      </c>
      <c r="F55">
        <v>46950</v>
      </c>
      <c r="G55">
        <v>-5</v>
      </c>
    </row>
    <row r="56">
      <c r="A56">
        <v>46037</v>
      </c>
      <c r="B56" t="str">
        <v>境外版兒童含鈣健齒噴霧(香草口味) 20mL</v>
      </c>
      <c r="C56" t="str">
        <v>Milk_Kids_Spray</v>
      </c>
      <c r="D56">
        <v>4714781022231</v>
      </c>
      <c r="E56" t="str">
        <v>B0B5QWQ7PP</v>
      </c>
      <c r="F56">
        <v>46880</v>
      </c>
      <c r="G56">
        <v>15</v>
      </c>
    </row>
    <row r="57">
      <c r="A57">
        <v>46037</v>
      </c>
      <c r="B57" t="str">
        <v>境外化妝品版兒童含鈣健齒噴霧(西瓜口味) 20mL</v>
      </c>
      <c r="C57" t="str">
        <v>Watermelon-spray</v>
      </c>
      <c r="D57">
        <v>4714781020022</v>
      </c>
      <c r="E57" t="str">
        <v>B0FMDYP9VG</v>
      </c>
      <c r="F57">
        <v>46950</v>
      </c>
      <c r="G57">
        <v>15</v>
      </c>
    </row>
    <row r="58">
      <c r="A58">
        <v>46037</v>
      </c>
      <c r="B58" t="str">
        <v>境外版兒童含鈣健齒噴霧(原味口味) 20mL</v>
      </c>
      <c r="C58" t="str">
        <v>FlavorFree_Spray_Kids</v>
      </c>
      <c r="D58">
        <v>4714781022248</v>
      </c>
      <c r="E58" t="str">
        <v>B0F6T1FCZD</v>
      </c>
      <c r="F58">
        <v>46957</v>
      </c>
      <c r="G58">
        <v>10</v>
      </c>
    </row>
  </sheetData>
  <pageMargins left="0.7" right="0.7" top="0.75" bottom="0.75" header="0.3" footer="0.3"/>
  <ignoredErrors>
    <ignoredError numberStoredAsText="1" sqref="A1:H10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庫存總覽</vt:lpstr>
      <vt:lpstr>Movement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2026-06-02T08:40:52Z</dcterms:created>
  <dcterms:modified xsi:type="dcterms:W3CDTF">2026-06-02T08:45:46Z</dcterms:modified>
  <cp:lastModifiedBy>User</cp:lastModifiedBy>
  <dc:creator>User</dc:creator>
</cp:coreProperties>
</file>